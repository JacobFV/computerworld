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  <sheet name="Summary" sheetId="2" r:id="rId2"/>
  </sheets>
  <calcPr calcId="191029" fullCalcOnLoad="1"/>
</workbook>
</file>

<file path=xl/sharedStrings.xml><?xml version="1.0" encoding="utf-8"?>
<sst xmlns="http://schemas.openxmlformats.org/spreadsheetml/2006/main" count="18" uniqueCount="18">
  <si>
    <t xml:space="preserve">Category</t>
  </si>
  <si>
    <t xml:space="preserve">July</t>
  </si>
  <si>
    <t xml:space="preserve">August</t>
  </si>
  <si>
    <t xml:space="preserve">September</t>
  </si>
  <si>
    <t xml:space="preserve">Total</t>
  </si>
  <si>
    <t xml:space="preserve">Average</t>
  </si>
  <si>
    <t xml:space="preserve">Rent</t>
  </si>
  <si>
    <t xml:space="preserve">Utilities</t>
  </si>
  <si>
    <t xml:space="preserve">Groceries</t>
  </si>
  <si>
    <t xml:space="preserve">Transport</t>
  </si>
  <si>
    <t xml:space="preserve">Insurance</t>
  </si>
  <si>
    <t xml:space="preserve">Entertainment</t>
  </si>
  <si>
    <t xml:space="preserve">Quarter total</t>
  </si>
  <si>
    <t xml:space="preserve">Monthly average</t>
  </si>
  <si>
    <t xml:space="preserve">Largest category</t>
  </si>
  <si>
    <t xml:space="preserve">Share of rent</t>
  </si>
  <si>
    <t xml:space="preserve">Months over $3,000</t>
  </si>
  <si>
    <t xml:space="preserve">Prepared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</si>
</sst>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mmmm d, 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/>
            </a:pPr>
            <a:r>
              <a:t>Spending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Budget!$B$1</c:f>
            </c:strRef>
          </c:tx>
          <c:cat>
            <c:strRef>
              <c:f>Budget!$A$2:$A$7</c:f>
            </c:strRef>
          </c:cat>
          <c:val>
            <c:numRef>
              <c:f>Budget!$B$2:$B$7</c:f>
            </c:numRef>
          </c:val>
        </c:ser>
        <c:ser>
          <c:idx val="1"/>
          <c:order val="1"/>
          <c:tx>
            <c:strRef>
              <c:f>Budget!$C$1</c:f>
            </c:strRef>
          </c:tx>
          <c:cat>
            <c:strRef>
              <c:f>Budget!$A$2:$A$7</c:f>
            </c:strRef>
          </c:cat>
          <c:val>
            <c:numRef>
              <c:f>Budget!$C$2:$C$7</c:f>
            </c:numRef>
          </c:val>
        </c:ser>
        <c:ser>
          <c:idx val="2"/>
          <c:order val="2"/>
          <c:tx>
            <c:strRef>
              <c:f>Budget!$D$1</c:f>
            </c:strRef>
          </c:tx>
          <c:cat>
            <c:strRef>
              <c:f>Budget!$A$2:$A$7</c:f>
            </c:strRef>
          </c:cat>
          <c:val>
            <c:numRef>
              <c:f>Budget!$D$2:$D$7</c:f>
            </c:numRef>
          </c:val>
        </c:ser>
        <c:gapWidth val="219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1"/>
        <c:tickLblPos val="nextTo"/>
        <c:crossAx val="500000002"/>
        <c:crosses val="autoZero"/>
        <c:auto val="1"/>
        <c:lblAlgn val="ctr"/>
        <c:lblOffset val="10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 tabSelected="1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1.29" customWidth="1"/>
    <col min="3" max="3" width="11.29" customWidth="1"/>
    <col min="4" max="4" width="11.29" customWidth="1"/>
    <col min="5" max="5" width="11.29" customWidth="1"/>
    <col min="6" max="6" width="11.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s="2">
        <v>1850</v>
      </c>
      <c r="C2" s="2">
        <v>1850</v>
      </c>
      <c r="D2" s="2">
        <v>1850</v>
      </c>
      <c r="E2" s="2">
        <f>SUM(B2:D2)</f>
        <v>5550</v>
      </c>
      <c r="F2" s="2">
        <f>ROUND(AVERAGE(B2:D2),2)</f>
        <v>1850</v>
      </c>
    </row>
    <row r="3">
      <c r="A3" t="s">
        <v>7</v>
      </c>
      <c r="B3" s="2">
        <v>142.35</v>
      </c>
      <c r="C3" s="2">
        <v>156.8</v>
      </c>
      <c r="D3" s="2">
        <v>131.1</v>
      </c>
      <c r="E3" s="2">
        <f>SUM(B3:D3)</f>
        <v>430.25</v>
      </c>
      <c r="F3" s="2">
        <f>ROUND(AVERAGE(B3:D3),2)</f>
        <v>143.42</v>
      </c>
    </row>
    <row r="4">
      <c r="A4" t="s">
        <v>8</v>
      </c>
      <c r="B4" s="2">
        <v>486.2</v>
      </c>
      <c r="C4" s="2">
        <v>512.75</v>
      </c>
      <c r="D4" s="2">
        <v>470.4</v>
      </c>
      <c r="E4" s="2">
        <f>SUM(B4:D4)</f>
        <v>1469.35</v>
      </c>
      <c r="F4" s="2">
        <f>ROUND(AVERAGE(B4:D4),2)</f>
        <v>489.78</v>
      </c>
    </row>
    <row r="5">
      <c r="A5" t="s">
        <v>9</v>
      </c>
      <c r="B5" s="2">
        <v>96</v>
      </c>
      <c r="C5" s="2">
        <v>110.5</v>
      </c>
      <c r="D5" s="2">
        <v>88.25</v>
      </c>
      <c r="E5" s="2">
        <f>SUM(B5:D5)</f>
        <v>294.75</v>
      </c>
      <c r="F5" s="2">
        <f>ROUND(AVERAGE(B5:D5),2)</f>
        <v>98.25</v>
      </c>
    </row>
    <row r="6">
      <c r="A6" t="s">
        <v>10</v>
      </c>
      <c r="B6" s="2">
        <v>215</v>
      </c>
      <c r="C6" s="2">
        <v>215</v>
      </c>
      <c r="D6" s="2">
        <v>215</v>
      </c>
      <c r="E6" s="2">
        <f>SUM(B6:D6)</f>
        <v>645</v>
      </c>
      <c r="F6" s="2">
        <f>ROUND(AVERAGE(B6:D6),2)</f>
        <v>215</v>
      </c>
    </row>
    <row r="7">
      <c r="A7" t="s">
        <v>11</v>
      </c>
      <c r="B7" s="2">
        <v>120</v>
      </c>
      <c r="C7" s="2">
        <v>85.6</v>
      </c>
      <c r="D7" s="2">
        <v>143.9</v>
      </c>
      <c r="E7" s="2">
        <f>SUM(B7:D7)</f>
        <v>349.5</v>
      </c>
      <c r="F7" s="2">
        <f>ROUND(AVERAGE(B7:D7),2)</f>
        <v>116.5</v>
      </c>
    </row>
    <row r="8">
      <c r="A8" s="3" t="s">
        <v>4</v>
      </c>
      <c r="B8" s="4">
        <f>SUM(B2:B7)</f>
        <v>2909.55</v>
      </c>
      <c r="C8" s="4">
        <f>SUM(C2:C7)</f>
        <v>2930.65</v>
      </c>
      <c r="D8" s="4">
        <f>SUM(D2:D7)</f>
        <v>2898.65</v>
      </c>
      <c r="E8" s="4">
        <f>SUM(E2:E7)</f>
        <v>8738.85</v>
      </c>
      <c r="F8" s="4">
        <f>AVERAGE(B8:D8)</f>
        <v>2912.9500000000003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9.29" customWidth="1"/>
    <col min="2" max="2" width="16.43" customWidth="1"/>
  </cols>
  <sheetData>
    <row r="1">
      <c r="A1" s="3" t="s">
        <v>12</v>
      </c>
      <c r="B1" s="2">
        <f>Budget!E8</f>
        <v>8738.85</v>
      </c>
    </row>
    <row r="2">
      <c r="A2" s="3" t="s">
        <v>13</v>
      </c>
      <c r="B2" s="2">
        <f>Budget!F8</f>
        <v>2912.9500000000003</v>
      </c>
    </row>
    <row r="3">
      <c r="A3" s="3" t="s">
        <v>14</v>
      </c>
      <c r="B3" t="str">
        <f>INDEX(Budget!A2:A7,MATCH(MAX(Budget!E2:E7),Budget!E2:E7,0))</f>
        <v>Rent</v>
      </c>
    </row>
    <row r="4">
      <c r="A4" s="3" t="s">
        <v>15</v>
      </c>
      <c r="B4" s="5">
        <f>Budget!E2/Budget!E8</f>
        <v>0.63509500678006825</v>
      </c>
    </row>
    <row r="5">
      <c r="A5" s="3" t="s">
        <v>16</v>
      </c>
      <c r="B5">
        <f>COUNTIF(Budget!B8:D8,"&gt;3000")</f>
        <v>0</v>
      </c>
    </row>
    <row r="6">
      <c r="A6" s="3" t="s">
        <v>17</v>
      </c>
      <c r="B6" s="6">
        <f>DATE(2026,9,17)</f>
        <v>46282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2026-09-17T09:00:00Z</dcterms:created>
  <dcterms:modified xsi:type="dcterms:W3CDTF">2026-09-17T09:00:00Z</dcterms:modified>
</cp:coreProperties>
</file>